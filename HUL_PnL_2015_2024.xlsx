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e3cde807d59fa8f/Documents/"/>
    </mc:Choice>
  </mc:AlternateContent>
  <xr:revisionPtr revIDLastSave="0" documentId="8_{221620FC-6502-4474-BF9B-030F563CC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L P&amp;L 2015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2" i="1"/>
  <c r="S3" i="1"/>
  <c r="S4" i="1"/>
  <c r="S5" i="1"/>
  <c r="S6" i="1"/>
  <c r="S7" i="1"/>
  <c r="S8" i="1"/>
  <c r="S9" i="1"/>
  <c r="S10" i="1"/>
  <c r="S11" i="1"/>
  <c r="S12" i="1"/>
  <c r="S13" i="1"/>
  <c r="S2" i="1"/>
  <c r="Q3" i="1"/>
  <c r="Q4" i="1"/>
  <c r="Q5" i="1"/>
  <c r="Q6" i="1"/>
  <c r="Q7" i="1"/>
  <c r="Q8" i="1"/>
  <c r="Q9" i="1"/>
  <c r="Q10" i="1"/>
  <c r="Q11" i="1"/>
  <c r="Q12" i="1"/>
  <c r="Q13" i="1"/>
  <c r="Q2" i="1"/>
  <c r="O3" i="1"/>
  <c r="O4" i="1"/>
  <c r="O5" i="1"/>
  <c r="O6" i="1"/>
  <c r="O7" i="1"/>
  <c r="O8" i="1"/>
  <c r="O9" i="1"/>
  <c r="O10" i="1"/>
  <c r="O11" i="1"/>
  <c r="O12" i="1"/>
  <c r="O13" i="1"/>
  <c r="O2" i="1"/>
  <c r="M3" i="1"/>
  <c r="M4" i="1"/>
  <c r="M5" i="1"/>
  <c r="M6" i="1"/>
  <c r="M7" i="1"/>
  <c r="M8" i="1"/>
  <c r="M9" i="1"/>
  <c r="M10" i="1"/>
  <c r="M11" i="1"/>
  <c r="M12" i="1"/>
  <c r="M13" i="1"/>
  <c r="M2" i="1"/>
  <c r="K3" i="1"/>
  <c r="K4" i="1"/>
  <c r="K5" i="1"/>
  <c r="K6" i="1"/>
  <c r="K7" i="1"/>
  <c r="K8" i="1"/>
  <c r="K9" i="1"/>
  <c r="K10" i="1"/>
  <c r="K11" i="1"/>
  <c r="K12" i="1"/>
  <c r="K13" i="1"/>
  <c r="K2" i="1"/>
  <c r="I3" i="1"/>
  <c r="I4" i="1"/>
  <c r="I5" i="1"/>
  <c r="I6" i="1"/>
  <c r="I7" i="1"/>
  <c r="I8" i="1"/>
  <c r="I9" i="1"/>
  <c r="I10" i="1"/>
  <c r="I11" i="1"/>
  <c r="I12" i="1"/>
  <c r="I13" i="1"/>
  <c r="I2" i="1"/>
  <c r="G3" i="1"/>
  <c r="G4" i="1"/>
  <c r="G5" i="1"/>
  <c r="G6" i="1"/>
  <c r="G7" i="1"/>
  <c r="G8" i="1"/>
  <c r="G9" i="1"/>
  <c r="G10" i="1"/>
  <c r="G11" i="1"/>
  <c r="G12" i="1"/>
  <c r="G13" i="1"/>
  <c r="G2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<sst xmlns="http://schemas.openxmlformats.org/spreadsheetml/2006/main" count="33" uniqueCount="24">
  <si>
    <t>Particulars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</si>
  <si>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</si>
  <si>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</si>
  <si>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</si>
  <si>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</si>
  <si>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</si>
  <si>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</si>
  <si>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</si>
  <si>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</si>
  <si>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</si>
  <si>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</si>
  <si>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Revenue from Operations</t>
  </si>
  <si>
    <t>Other Income</t>
  </si>
  <si>
    <t>Total Income</t>
  </si>
  <si>
    <t>Cost of Goods Sold</t>
  </si>
  <si>
    <t>Employee Benefit Expenses</t>
  </si>
  <si>
    <t>Depreciation</t>
  </si>
  <si>
    <t>Finance Cost</t>
  </si>
  <si>
    <t>Other Expenditure</t>
  </si>
  <si>
    <t>Total Expenses</t>
  </si>
  <si>
    <t>PBT (Profit Before Tax)</t>
  </si>
  <si>
    <t>Tax</t>
  </si>
  <si>
    <t>PROFIT AFTER TAX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</si>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</sst>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B1" workbookViewId="0">
      <selection activeCell="U2" sqref="U2:U13"/>
    </sheetView>
  </sheetViews>
  <sheetFormatPr defaultRowHeight="14.4" x14ac:dyDescent="0.3"/>
  <cols>
    <col min="1" max="1" width="24.44140625" customWidth="1"/>
  </cols>
  <sheetData>
    <row r="1" spans="1:21" x14ac:dyDescent="0.3">
      <c r="A1" t="s">
        <v>0</v>
      </c>
      <c r="B1" t="s">
        <v>1</v>
      </c>
      <c r="C1" t="s">
        <v>23</v>
      </c>
      <c r="D1" t="s">
        <v>2</v>
      </c>
      <c r="E1" t="s">
        <v>23</v>
      </c>
      <c r="F1" t="s">
        <v>3</v>
      </c>
      <c r="G1" t="s">
        <v>23</v>
      </c>
      <c r="H1" t="s">
        <v>4</v>
      </c>
      <c r="I1" t="s">
        <v>23</v>
      </c>
      <c r="J1" t="s">
        <v>5</v>
      </c>
      <c r="K1" t="s">
        <v>23</v>
      </c>
      <c r="L1" t="s">
        <v>6</v>
      </c>
      <c r="M1" t="s">
        <v>23</v>
      </c>
      <c r="N1" t="s">
        <v>7</v>
      </c>
      <c r="O1" t="s">
        <v>23</v>
      </c>
      <c r="P1" t="s">
        <v>8</v>
      </c>
      <c r="Q1" t="s">
        <v>23</v>
      </c>
      <c r="R1" t="s">
        <v>9</v>
      </c>
      <c r="S1" t="s">
        <v>23</v>
      </c>
      <c r="T1" t="s">
        <v>10</v>
      </c>
      <c r="U1" t="s">
        <v>23</v>
      </c>
    </row>
    <row r="2" spans="1:21" x14ac:dyDescent="0.3">
      <c r="A2" t="s">
        <v>11</v>
      </c>
      <c r="B2">
        <v>32907</v>
      </c>
      <c r="C2">
        <v>100</v>
      </c>
      <c r="D2">
        <v>33957</v>
      </c>
      <c r="E2">
        <f>D2/B2*100</f>
        <v>103.19081046585832</v>
      </c>
      <c r="F2">
        <v>34409</v>
      </c>
      <c r="G2">
        <f>F2/D2*100</f>
        <v>101.33109520864623</v>
      </c>
      <c r="H2">
        <v>35098</v>
      </c>
      <c r="I2">
        <f>H2/F2*100</f>
        <v>102.00238309744543</v>
      </c>
      <c r="J2">
        <v>38415</v>
      </c>
      <c r="K2">
        <f>J2/H2*100</f>
        <v>109.45068095048151</v>
      </c>
      <c r="L2">
        <v>39541</v>
      </c>
      <c r="M2">
        <f>L2/J2*100</f>
        <v>102.93114668749186</v>
      </c>
      <c r="N2">
        <v>47028</v>
      </c>
      <c r="O2">
        <f>N2/L2*100</f>
        <v>118.93477656103791</v>
      </c>
      <c r="P2">
        <v>59679</v>
      </c>
      <c r="Q2">
        <f>P2/N2*100</f>
        <v>126.90099515182445</v>
      </c>
      <c r="R2">
        <v>60543</v>
      </c>
      <c r="S2">
        <f>R2/P2*100</f>
        <v>101.4477454380938</v>
      </c>
      <c r="T2">
        <v>61806</v>
      </c>
      <c r="U2">
        <f>T2/R2*100</f>
        <v>102.08612060849313</v>
      </c>
    </row>
    <row r="3" spans="1:21" x14ac:dyDescent="0.3">
      <c r="A3" t="s">
        <v>12</v>
      </c>
      <c r="B3">
        <v>1200</v>
      </c>
      <c r="C3">
        <v>100</v>
      </c>
      <c r="D3">
        <v>1350</v>
      </c>
      <c r="E3">
        <f t="shared" ref="E3:E13" si="0">D3/B3*100</f>
        <v>112.5</v>
      </c>
      <c r="F3">
        <v>1420</v>
      </c>
      <c r="G3">
        <f t="shared" ref="G3:G13" si="1">F3/D3*100</f>
        <v>105.18518518518518</v>
      </c>
      <c r="H3">
        <v>1500</v>
      </c>
      <c r="I3">
        <f t="shared" ref="I3:I13" si="2">H3/F3*100</f>
        <v>105.63380281690141</v>
      </c>
      <c r="J3">
        <v>1650</v>
      </c>
      <c r="K3">
        <f t="shared" ref="K3:K13" si="3">J3/H3*100</f>
        <v>110.00000000000001</v>
      </c>
      <c r="L3">
        <v>1780</v>
      </c>
      <c r="M3">
        <f t="shared" ref="M3:M13" si="4">L3/J3*100</f>
        <v>107.87878787878789</v>
      </c>
      <c r="N3">
        <v>2050</v>
      </c>
      <c r="O3">
        <f t="shared" ref="O3:O13" si="5">N3/L3*100</f>
        <v>115.1685393258427</v>
      </c>
      <c r="P3">
        <v>2260</v>
      </c>
      <c r="Q3">
        <f t="shared" ref="Q3:Q13" si="6">P3/N3*100</f>
        <v>110.2439024390244</v>
      </c>
      <c r="R3">
        <v>2480</v>
      </c>
      <c r="S3">
        <f t="shared" ref="S3:S13" si="7">R3/P3*100</f>
        <v>109.73451327433628</v>
      </c>
      <c r="T3">
        <v>2600</v>
      </c>
      <c r="U3">
        <f t="shared" ref="U3:U13" si="8">T3/R3*100</f>
        <v>104.83870967741935</v>
      </c>
    </row>
    <row r="4" spans="1:21" x14ac:dyDescent="0.3">
      <c r="A4" t="s">
        <v>13</v>
      </c>
      <c r="B4">
        <v>34107</v>
      </c>
      <c r="C4">
        <v>100</v>
      </c>
      <c r="D4">
        <v>35307</v>
      </c>
      <c r="E4">
        <f t="shared" si="0"/>
        <v>103.51833934382969</v>
      </c>
      <c r="F4">
        <v>35829</v>
      </c>
      <c r="G4">
        <f t="shared" si="1"/>
        <v>101.47846036196788</v>
      </c>
      <c r="H4">
        <v>36598</v>
      </c>
      <c r="I4">
        <f t="shared" si="2"/>
        <v>102.14630606491949</v>
      </c>
      <c r="J4">
        <v>40065</v>
      </c>
      <c r="K4">
        <f t="shared" si="3"/>
        <v>109.4731952565714</v>
      </c>
      <c r="L4">
        <v>41321</v>
      </c>
      <c r="M4">
        <f t="shared" si="4"/>
        <v>103.13490577811058</v>
      </c>
      <c r="N4">
        <v>49078</v>
      </c>
      <c r="O4">
        <f t="shared" si="5"/>
        <v>118.77253696667553</v>
      </c>
      <c r="P4">
        <v>61939</v>
      </c>
      <c r="Q4">
        <f t="shared" si="6"/>
        <v>126.20522433677004</v>
      </c>
      <c r="R4">
        <v>63023</v>
      </c>
      <c r="S4">
        <f t="shared" si="7"/>
        <v>101.75010897818821</v>
      </c>
      <c r="T4">
        <v>64406</v>
      </c>
      <c r="U4">
        <f t="shared" si="8"/>
        <v>102.1944369515891</v>
      </c>
    </row>
    <row r="5" spans="1:21" x14ac:dyDescent="0.3">
      <c r="A5" t="s">
        <v>14</v>
      </c>
      <c r="B5">
        <v>15980</v>
      </c>
      <c r="C5">
        <v>100</v>
      </c>
      <c r="D5">
        <v>16350</v>
      </c>
      <c r="E5">
        <f t="shared" si="0"/>
        <v>102.31539424280352</v>
      </c>
      <c r="F5">
        <v>16440</v>
      </c>
      <c r="G5">
        <f t="shared" si="1"/>
        <v>100.55045871559633</v>
      </c>
      <c r="H5">
        <v>16820</v>
      </c>
      <c r="I5">
        <f t="shared" si="2"/>
        <v>102.31143552311434</v>
      </c>
      <c r="J5">
        <v>18510</v>
      </c>
      <c r="K5">
        <f t="shared" si="3"/>
        <v>110.04756242568372</v>
      </c>
      <c r="L5">
        <v>19040</v>
      </c>
      <c r="M5">
        <f t="shared" si="4"/>
        <v>102.86331712587791</v>
      </c>
      <c r="N5">
        <v>23260</v>
      </c>
      <c r="O5">
        <f t="shared" si="5"/>
        <v>122.1638655462185</v>
      </c>
      <c r="P5">
        <v>30110</v>
      </c>
      <c r="Q5">
        <f t="shared" si="6"/>
        <v>129.44969905417025</v>
      </c>
      <c r="R5">
        <v>30840</v>
      </c>
      <c r="S5">
        <f t="shared" si="7"/>
        <v>102.42444370640985</v>
      </c>
      <c r="T5">
        <v>31560</v>
      </c>
      <c r="U5">
        <f t="shared" si="8"/>
        <v>102.33463035019454</v>
      </c>
    </row>
    <row r="6" spans="1:21" x14ac:dyDescent="0.3">
      <c r="A6" t="s">
        <v>15</v>
      </c>
      <c r="B6">
        <v>2460</v>
      </c>
      <c r="C6">
        <v>100</v>
      </c>
      <c r="D6">
        <v>2580</v>
      </c>
      <c r="E6">
        <f t="shared" si="0"/>
        <v>104.8780487804878</v>
      </c>
      <c r="F6">
        <v>2700</v>
      </c>
      <c r="G6">
        <f t="shared" si="1"/>
        <v>104.65116279069768</v>
      </c>
      <c r="H6">
        <v>2850</v>
      </c>
      <c r="I6">
        <f t="shared" si="2"/>
        <v>105.55555555555556</v>
      </c>
      <c r="J6">
        <v>3010</v>
      </c>
      <c r="K6">
        <f t="shared" si="3"/>
        <v>105.61403508771929</v>
      </c>
      <c r="L6">
        <v>3150</v>
      </c>
      <c r="M6">
        <f t="shared" si="4"/>
        <v>104.65116279069768</v>
      </c>
      <c r="N6">
        <v>4020</v>
      </c>
      <c r="O6">
        <f t="shared" si="5"/>
        <v>127.61904761904761</v>
      </c>
      <c r="P6">
        <v>4550</v>
      </c>
      <c r="Q6">
        <f t="shared" si="6"/>
        <v>113.18407960199004</v>
      </c>
      <c r="R6">
        <v>4820</v>
      </c>
      <c r="S6">
        <f t="shared" si="7"/>
        <v>105.93406593406594</v>
      </c>
      <c r="T6">
        <v>4980</v>
      </c>
      <c r="U6">
        <f t="shared" si="8"/>
        <v>103.31950207468881</v>
      </c>
    </row>
    <row r="7" spans="1:21" x14ac:dyDescent="0.3">
      <c r="A7" t="s">
        <v>16</v>
      </c>
      <c r="B7">
        <v>980</v>
      </c>
      <c r="C7">
        <v>100</v>
      </c>
      <c r="D7">
        <v>1020</v>
      </c>
      <c r="E7">
        <f t="shared" si="0"/>
        <v>104.08163265306123</v>
      </c>
      <c r="F7">
        <v>1080</v>
      </c>
      <c r="G7">
        <f t="shared" si="1"/>
        <v>105.88235294117648</v>
      </c>
      <c r="H7">
        <v>1150</v>
      </c>
      <c r="I7">
        <f t="shared" si="2"/>
        <v>106.4814814814815</v>
      </c>
      <c r="J7">
        <v>1220</v>
      </c>
      <c r="K7">
        <f t="shared" si="3"/>
        <v>106.08695652173914</v>
      </c>
      <c r="L7">
        <v>1300</v>
      </c>
      <c r="M7">
        <f t="shared" si="4"/>
        <v>106.55737704918033</v>
      </c>
      <c r="N7">
        <v>1820</v>
      </c>
      <c r="O7">
        <f t="shared" si="5"/>
        <v>140</v>
      </c>
      <c r="P7">
        <v>2050</v>
      </c>
      <c r="Q7">
        <f t="shared" si="6"/>
        <v>112.63736263736264</v>
      </c>
      <c r="R7">
        <v>2180</v>
      </c>
      <c r="S7">
        <f t="shared" si="7"/>
        <v>106.34146341463415</v>
      </c>
      <c r="T7">
        <v>2300</v>
      </c>
      <c r="U7">
        <f t="shared" si="8"/>
        <v>105.50458715596329</v>
      </c>
    </row>
    <row r="8" spans="1:21" x14ac:dyDescent="0.3">
      <c r="A8" t="s">
        <v>17</v>
      </c>
      <c r="B8">
        <v>85</v>
      </c>
      <c r="C8">
        <v>100</v>
      </c>
      <c r="D8">
        <v>90</v>
      </c>
      <c r="E8">
        <f t="shared" si="0"/>
        <v>105.88235294117648</v>
      </c>
      <c r="F8">
        <v>95</v>
      </c>
      <c r="G8">
        <f t="shared" si="1"/>
        <v>105.55555555555556</v>
      </c>
      <c r="H8">
        <v>100</v>
      </c>
      <c r="I8">
        <f t="shared" si="2"/>
        <v>105.26315789473684</v>
      </c>
      <c r="J8">
        <v>110</v>
      </c>
      <c r="K8">
        <f t="shared" si="3"/>
        <v>110.00000000000001</v>
      </c>
      <c r="L8">
        <v>120</v>
      </c>
      <c r="M8">
        <f t="shared" si="4"/>
        <v>109.09090909090908</v>
      </c>
      <c r="N8">
        <v>140</v>
      </c>
      <c r="O8">
        <f t="shared" si="5"/>
        <v>116.66666666666667</v>
      </c>
      <c r="P8">
        <v>155</v>
      </c>
      <c r="Q8">
        <f t="shared" si="6"/>
        <v>110.71428571428572</v>
      </c>
      <c r="R8">
        <v>165</v>
      </c>
      <c r="S8">
        <f t="shared" si="7"/>
        <v>106.45161290322579</v>
      </c>
      <c r="T8">
        <v>175</v>
      </c>
      <c r="U8">
        <f t="shared" si="8"/>
        <v>106.06060606060606</v>
      </c>
    </row>
    <row r="9" spans="1:21" x14ac:dyDescent="0.3">
      <c r="A9" t="s">
        <v>18</v>
      </c>
      <c r="B9">
        <v>5400</v>
      </c>
      <c r="C9">
        <v>100</v>
      </c>
      <c r="D9">
        <v>5550</v>
      </c>
      <c r="E9">
        <f t="shared" si="0"/>
        <v>102.77777777777777</v>
      </c>
      <c r="F9">
        <v>5650</v>
      </c>
      <c r="G9">
        <f t="shared" si="1"/>
        <v>101.8018018018018</v>
      </c>
      <c r="H9">
        <v>5750</v>
      </c>
      <c r="I9">
        <f t="shared" si="2"/>
        <v>101.76991150442478</v>
      </c>
      <c r="J9">
        <v>6100</v>
      </c>
      <c r="K9">
        <f t="shared" si="3"/>
        <v>106.08695652173914</v>
      </c>
      <c r="L9">
        <v>6250</v>
      </c>
      <c r="M9">
        <f t="shared" si="4"/>
        <v>102.45901639344261</v>
      </c>
      <c r="N9">
        <v>7420</v>
      </c>
      <c r="O9">
        <f t="shared" si="5"/>
        <v>118.72</v>
      </c>
      <c r="P9">
        <v>8750</v>
      </c>
      <c r="Q9">
        <f t="shared" si="6"/>
        <v>117.9245283018868</v>
      </c>
      <c r="R9">
        <v>9050</v>
      </c>
      <c r="S9">
        <f t="shared" si="7"/>
        <v>103.42857142857143</v>
      </c>
      <c r="T9">
        <v>9300</v>
      </c>
      <c r="U9">
        <f t="shared" si="8"/>
        <v>102.76243093922652</v>
      </c>
    </row>
    <row r="10" spans="1:21" x14ac:dyDescent="0.3">
      <c r="A10" t="s">
        <v>19</v>
      </c>
      <c r="B10">
        <v>24905</v>
      </c>
      <c r="C10">
        <v>100</v>
      </c>
      <c r="D10">
        <v>25590</v>
      </c>
      <c r="E10">
        <f t="shared" si="0"/>
        <v>102.75045171652279</v>
      </c>
      <c r="F10">
        <v>25965</v>
      </c>
      <c r="G10">
        <f t="shared" si="1"/>
        <v>101.4654161781946</v>
      </c>
      <c r="H10">
        <v>26670</v>
      </c>
      <c r="I10">
        <f t="shared" si="2"/>
        <v>102.71519352975159</v>
      </c>
      <c r="J10">
        <v>28950</v>
      </c>
      <c r="K10">
        <f t="shared" si="3"/>
        <v>108.54893138357707</v>
      </c>
      <c r="L10">
        <v>29860</v>
      </c>
      <c r="M10">
        <f t="shared" si="4"/>
        <v>103.14335060449049</v>
      </c>
      <c r="N10">
        <v>36660</v>
      </c>
      <c r="O10">
        <f t="shared" si="5"/>
        <v>122.77294038847957</v>
      </c>
      <c r="P10">
        <v>45565</v>
      </c>
      <c r="Q10">
        <f t="shared" si="6"/>
        <v>124.29078014184398</v>
      </c>
      <c r="R10">
        <v>47055</v>
      </c>
      <c r="S10">
        <f t="shared" si="7"/>
        <v>103.27005376934051</v>
      </c>
      <c r="T10">
        <v>48315</v>
      </c>
      <c r="U10">
        <f t="shared" si="8"/>
        <v>102.67771756455213</v>
      </c>
    </row>
    <row r="11" spans="1:21" x14ac:dyDescent="0.3">
      <c r="A11" t="s">
        <v>20</v>
      </c>
      <c r="B11">
        <v>9202</v>
      </c>
      <c r="C11">
        <v>100</v>
      </c>
      <c r="D11">
        <v>9717</v>
      </c>
      <c r="E11">
        <f t="shared" si="0"/>
        <v>105.59660943273201</v>
      </c>
      <c r="F11">
        <v>9864</v>
      </c>
      <c r="G11">
        <f t="shared" si="1"/>
        <v>101.5128125964804</v>
      </c>
      <c r="H11">
        <v>9928</v>
      </c>
      <c r="I11">
        <f t="shared" si="2"/>
        <v>100.64882400648824</v>
      </c>
      <c r="J11">
        <v>11115</v>
      </c>
      <c r="K11">
        <f t="shared" si="3"/>
        <v>111.95608380338437</v>
      </c>
      <c r="L11">
        <v>11461</v>
      </c>
      <c r="M11">
        <f t="shared" si="4"/>
        <v>103.11291048133154</v>
      </c>
      <c r="N11">
        <v>12418</v>
      </c>
      <c r="O11">
        <f t="shared" si="5"/>
        <v>108.3500567140738</v>
      </c>
      <c r="P11">
        <v>16374</v>
      </c>
      <c r="Q11">
        <f t="shared" si="6"/>
        <v>131.856981800612</v>
      </c>
      <c r="R11">
        <v>15968</v>
      </c>
      <c r="S11">
        <f t="shared" si="7"/>
        <v>97.520459264687915</v>
      </c>
      <c r="T11">
        <v>16091</v>
      </c>
      <c r="U11">
        <f t="shared" si="8"/>
        <v>100.77029058116231</v>
      </c>
    </row>
    <row r="12" spans="1:21" x14ac:dyDescent="0.3">
      <c r="A12" t="s">
        <v>21</v>
      </c>
      <c r="B12">
        <v>2900</v>
      </c>
      <c r="C12">
        <v>100</v>
      </c>
      <c r="D12">
        <v>3050</v>
      </c>
      <c r="E12">
        <f t="shared" si="0"/>
        <v>105.17241379310344</v>
      </c>
      <c r="F12">
        <v>3120</v>
      </c>
      <c r="G12">
        <f t="shared" si="1"/>
        <v>102.29508196721311</v>
      </c>
      <c r="H12">
        <v>3180</v>
      </c>
      <c r="I12">
        <f t="shared" si="2"/>
        <v>101.92307692307692</v>
      </c>
      <c r="J12">
        <v>3550</v>
      </c>
      <c r="K12">
        <f t="shared" si="3"/>
        <v>111.63522012578618</v>
      </c>
      <c r="L12">
        <v>3620</v>
      </c>
      <c r="M12">
        <f t="shared" si="4"/>
        <v>101.97183098591549</v>
      </c>
      <c r="N12">
        <v>3920</v>
      </c>
      <c r="O12">
        <f t="shared" si="5"/>
        <v>108.28729281767954</v>
      </c>
      <c r="P12">
        <v>5080</v>
      </c>
      <c r="Q12">
        <f t="shared" si="6"/>
        <v>129.59183673469389</v>
      </c>
      <c r="R12">
        <v>4920</v>
      </c>
      <c r="S12">
        <f t="shared" si="7"/>
        <v>96.850393700787393</v>
      </c>
      <c r="T12">
        <v>4970</v>
      </c>
      <c r="U12">
        <f t="shared" si="8"/>
        <v>101.01626016260164</v>
      </c>
    </row>
    <row r="13" spans="1:21" x14ac:dyDescent="0.3">
      <c r="A13" t="s">
        <v>22</v>
      </c>
      <c r="B13">
        <v>6302</v>
      </c>
      <c r="C13">
        <v>100</v>
      </c>
      <c r="D13">
        <v>6667</v>
      </c>
      <c r="E13">
        <f t="shared" si="0"/>
        <v>105.79181212313551</v>
      </c>
      <c r="F13">
        <v>6744</v>
      </c>
      <c r="G13">
        <f t="shared" si="1"/>
        <v>101.15494225288735</v>
      </c>
      <c r="H13">
        <v>6748</v>
      </c>
      <c r="I13">
        <f t="shared" si="2"/>
        <v>100.05931198102016</v>
      </c>
      <c r="J13">
        <v>7565</v>
      </c>
      <c r="K13">
        <f t="shared" si="3"/>
        <v>112.10729104919976</v>
      </c>
      <c r="L13">
        <v>7841</v>
      </c>
      <c r="M13">
        <f t="shared" si="4"/>
        <v>103.64838070059486</v>
      </c>
      <c r="N13">
        <v>8498</v>
      </c>
      <c r="O13">
        <f t="shared" si="5"/>
        <v>108.37903328657059</v>
      </c>
      <c r="P13">
        <v>11294</v>
      </c>
      <c r="Q13">
        <f t="shared" si="6"/>
        <v>132.90185926100258</v>
      </c>
      <c r="R13">
        <v>11048</v>
      </c>
      <c r="S13">
        <f t="shared" si="7"/>
        <v>97.821852310961575</v>
      </c>
      <c r="T13">
        <v>11121</v>
      </c>
      <c r="U13">
        <f t="shared" si="8"/>
        <v>100.66075307748008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HUL P&amp;L 2015-2024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Thanushree R D</cp:lastModifiedBy>
  <dcterms:created xsi:type="dcterms:W3CDTF">2026-02-02T14:14:17Z</dcterms:created>
  <dcterms:modified xsi:type="dcterms:W3CDTF">2026-02-02T17:15:50Z</dcterms:modified>
</cp:coreProperties>
</file>